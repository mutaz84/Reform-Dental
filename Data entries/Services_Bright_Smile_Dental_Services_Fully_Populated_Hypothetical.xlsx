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5b7f97e09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 Upload" sheetId="1" r:id="R55dcc5e743f44d9d"/>
    <x:sheet xmlns:r="http://schemas.openxmlformats.org/officeDocument/2006/relationships" name="Review Before Upload" sheetId="2" r:id="Raaf9d0ab5fad4063"/>
    <x:sheet xmlns:r="http://schemas.openxmlformats.org/officeDocument/2006/relationships" name="Lists" sheetId="3" r:id="Rbc8c7676b50846e7"/>
    <x:sheet xmlns:r="http://schemas.openxmlformats.org/officeDocument/2006/relationships" name="Vendor Additions Required" sheetId="4" r:id="R65e29954e94b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7C3AED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91B2"/>
      </x:patternFill>
    </x:fill>
    <x:fill>
      <x:patternFill patternType="solid">
        <x:fgColor rgb="FFF8FAFC"/>
      </x:patternFill>
    </x:fill>
    <x:fill>
      <x:patternFill patternType="solid">
        <x:fgColor rgb="FF991B1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a988d64084cc1" /><Relationship Type="http://schemas.openxmlformats.org/officeDocument/2006/relationships/theme" Target="/xl/theme/theme1.xml" Id="R09cf19048dce4c4b" /><Relationship Type="http://schemas.openxmlformats.org/officeDocument/2006/relationships/sharedStrings" Target="/xl/sharedStrings.xml" Id="Re26e9dada0644b9c" /><Relationship Type="http://schemas.openxmlformats.org/officeDocument/2006/relationships/worksheet" Target="/xl/worksheets/sheet1.xml" Id="R55dcc5e743f44d9d" /><Relationship Type="http://schemas.openxmlformats.org/officeDocument/2006/relationships/worksheet" Target="/xl/worksheets/sheet2.xml" Id="Raaf9d0ab5fad4063" /><Relationship Type="http://schemas.openxmlformats.org/officeDocument/2006/relationships/worksheet" Target="/xl/worksheets/sheet3.xml" Id="Rbc8c7676b50846e7" /><Relationship Type="http://schemas.openxmlformats.org/officeDocument/2006/relationships/worksheet" Target="/xl/worksheets/sheet4.xml" Id="R65e29954e94b4a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63bc02476b44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Hypothetical Monthly Service Cost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Monthly Cost</c:v>
          </c:tx>
          <c:cat>
            <c:strRef>
              <c:f>'Review Before Upload'!$D$4:$D$18</c:f>
              <c:strCache>
                <c:ptCount val="0"/>
              </c:strCache>
            </c:strRef>
          </c:cat>
          <c:val>
            <c:numRef>
              <c:f>'Review Before Upload'!$E$4:$E$18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63bc02476b44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ightSmileServices" displayName="BrightSmileServices" ref="A1:N21" headerRowCount="1">
  <x:tableColumns count="14">
    <x:tableColumn id="1" name="Service Name"/>
    <x:tableColumn id="2" name="Category"/>
    <x:tableColumn id="3" name="Provider"/>
    <x:tableColumn id="4" name="Service Vendor (Optional)"/>
    <x:tableColumn id="5" name="Account Number"/>
    <x:tableColumn id="6" name="Service Start Date"/>
    <x:tableColumn id="7" name="Contract Term"/>
    <x:tableColumn id="8" name="Office"/>
    <x:tableColumn id="9" name="Contract End Date (Optional)"/>
    <x:tableColumn id="10" name="Monthly Cost ($)"/>
    <x:tableColumn id="11" name="Utility Image"/>
    <x:tableColumn id="12" name="Documents (PDF)"/>
    <x:tableColumn id="13" name="Notes"/>
    <x:tableColumn id="14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ServicesVendorAdditions" displayName="ServicesVendorAdditions" ref="A1:D3" headerRowCount="1">
  <x:tableColumns count="4">
    <x:tableColumn id="1" name="Vendor Name"/>
    <x:tableColumn id="2" name="Vendor Category"/>
    <x:tableColumn id="3" name="Purpose"/>
    <x:tableColumn id="4" name="Import Dependen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87261ebc8d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1fe8e77e28b43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3d8ed1e9f4848f9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9" hidden="0" customWidth="1"/>
    <x:col min="3" max="3" width="38" hidden="0" customWidth="1"/>
    <x:col min="4" max="4" width="38" hidden="0" customWidth="1"/>
    <x:col min="5" max="5" width="25" hidden="0" customWidth="1"/>
    <x:col min="6" max="6" width="16" hidden="0" customWidth="1"/>
    <x:col min="7" max="7" width="18" hidden="0" customWidth="1"/>
    <x:col min="8" max="8" width="22" hidden="0" customWidth="1"/>
    <x:col min="9" max="9" width="20" hidden="0" customWidth="1"/>
    <x:col min="10" max="10" width="17" hidden="0" customWidth="1"/>
    <x:col min="11" max="11" width="24" hidden="0" customWidth="1"/>
    <x:col min="12" max="12" width="25" hidden="0" customWidth="1"/>
    <x:col min="13" max="13" width="52" hidden="0" customWidth="1"/>
    <x:col min="14" max="14" width="55" hidden="0" customWidth="1"/>
  </x:cols>
  <x:sheetData>
    <x:row r="1" ht="36" customHeight="1">
      <x:c r="A1" s="6" t="str">
        <x:v>Service Name</x:v>
      </x:c>
      <x:c r="B1" s="6" t="str">
        <x:v>Category</x:v>
      </x:c>
      <x:c r="C1" s="6" t="str">
        <x:v>Provider</x:v>
      </x:c>
      <x:c r="D1" s="6" t="str">
        <x:v>Service Vendor (Optional)</x:v>
      </x:c>
      <x:c r="E1" s="6" t="str">
        <x:v>Account Number</x:v>
      </x:c>
      <x:c r="F1" s="6" t="str">
        <x:v>Service Start Date</x:v>
      </x:c>
      <x:c r="G1" s="6" t="str">
        <x:v>Contract Term</x:v>
      </x:c>
      <x:c r="H1" s="6" t="str">
        <x:v>Office</x:v>
      </x:c>
      <x:c r="I1" s="6" t="str">
        <x:v>Contract End Date (Optional)</x:v>
      </x:c>
      <x:c r="J1" s="6" t="str">
        <x:v>Monthly Cost ($)</x:v>
      </x:c>
      <x:c r="K1" s="6" t="str">
        <x:v>Utility Image</x:v>
      </x:c>
      <x:c r="L1" s="6" t="str">
        <x:v>Documents (PDF)</x:v>
      </x:c>
      <x:c r="M1" s="6" t="str">
        <x:v>Notes</x:v>
      </x:c>
      <x:c r="N1" s="6" t="str">
        <x:v>Warnings</x:v>
      </x:c>
    </x:row>
    <x:row r="2">
      <x:c r="A2" s="14" t="str">
        <x:v>Curve Dental Practice Management Software</x:v>
      </x:c>
      <x:c r="B2" s="14" t="str">
        <x:v>Practice Management Software</x:v>
      </x:c>
      <x:c r="C2" s="20" t="str">
        <x:v>Curve Dental</x:v>
      </x:c>
      <x:c r="D2" s="20" t="str">
        <x:v>Curve Dental</x:v>
      </x:c>
      <x:c r="E2" s="26" t="str">
        <x:v>HYP-CURVE-482901</x:v>
      </x:c>
      <x:c r="F2" s="21" t="n">
        <x:v>45870</x:v>
      </x:c>
      <x:c r="G2" s="20" t="str">
        <x:v>12 Months</x:v>
      </x:c>
      <x:c r="H2" s="20" t="str">
        <x:v>Bright Smile Dental</x:v>
      </x:c>
      <x:c r="I2" s="21" t="n">
        <x:v>46234</x:v>
      </x:c>
      <x:c r="J2" s="22" t="n">
        <x:v>899</x:v>
      </x:c>
      <x:c r="K2" s="14"/>
      <x:c r="L2" s="14"/>
      <x:c r="M2" s="14" t="str">
        <x:v>Cloud practice-management subscription. Hypothetical billing is monthly by autopay.</x:v>
      </x:c>
      <x:c r="N2" s="14" t="str">
        <x:v>Auto-renews annually unless cancelled in writing at least 60 days before renewal.</x:v>
      </x:c>
    </x:row>
    <x:row r="3">
      <x:c r="A3" s="14" t="str">
        <x:v>Weave Phone, Texting and Patient Communication</x:v>
      </x:c>
      <x:c r="B3" s="14" t="str">
        <x:v>Phone &amp; Communications</x:v>
      </x:c>
      <x:c r="C3" s="20" t="str">
        <x:v>Weave</x:v>
      </x:c>
      <x:c r="D3" s="20" t="str">
        <x:v>Weave</x:v>
      </x:c>
      <x:c r="E3" s="26" t="str">
        <x:v>HYP-WEAVE-613820</x:v>
      </x:c>
      <x:c r="F3" s="21" t="n">
        <x:v>45915</x:v>
      </x:c>
      <x:c r="G3" s="20" t="str">
        <x:v>36 Months</x:v>
      </x:c>
      <x:c r="H3" s="20" t="str">
        <x:v>Bright Smile Dental</x:v>
      </x:c>
      <x:c r="I3" s="21" t="n">
        <x:v>47010</x:v>
      </x:c>
      <x:c r="J3" s="22" t="n">
        <x:v>749</x:v>
      </x:c>
      <x:c r="K3" s="14"/>
      <x:c r="L3" s="14"/>
      <x:c r="M3" s="14" t="str">
        <x:v>Business phones, texting, call analytics and patient communication. Hypothetical account.</x:v>
      </x:c>
      <x:c r="N3" s="14" t="str">
        <x:v>Early-termination fees may apply. Confirm number-porting ownership and cancellation terms.</x:v>
      </x:c>
    </x:row>
    <x:row r="4">
      <x:c r="A4" s="14" t="str">
        <x:v>Microsoft 365 Business Subscription</x:v>
      </x:c>
      <x:c r="B4" s="14" t="str">
        <x:v>Business Software</x:v>
      </x:c>
      <x:c r="C4" s="20" t="str">
        <x:v>Microsoft 365</x:v>
      </x:c>
      <x:c r="D4" s="20" t="str">
        <x:v>Xpress Computer Services</x:v>
      </x:c>
      <x:c r="E4" s="26" t="str">
        <x:v>HYP-MS365-947120</x:v>
      </x:c>
      <x:c r="F4" s="21" t="n">
        <x:v>45839</x:v>
      </x:c>
      <x:c r="G4" s="20" t="str">
        <x:v>Annual</x:v>
      </x:c>
      <x:c r="H4" s="20" t="str">
        <x:v>Bright Smile Dental</x:v>
      </x:c>
      <x:c r="I4" s="21" t="n">
        <x:v>46203</x:v>
      </x:c>
      <x:c r="J4" s="22" t="n">
        <x:v>176</x:v>
      </x:c>
      <x:c r="K4" s="14"/>
      <x:c r="L4" s="14"/>
      <x:c r="M4" s="14" t="str">
        <x:v>Hypothetical license allowance for office computers and administrative users. Xpress administers the tenant.</x:v>
      </x:c>
      <x:c r="N4" s="14" t="str">
        <x:v>Licenses may auto-renew. Remove terminated users promptly and retain administrator access.</x:v>
      </x:c>
    </x:row>
    <x:row r="5">
      <x:c r="A5" s="14" t="str">
        <x:v>Google Workspace Business Subscription</x:v>
      </x:c>
      <x:c r="B5" s="14" t="str">
        <x:v>Business Software</x:v>
      </x:c>
      <x:c r="C5" s="20" t="str">
        <x:v>Google Workspace</x:v>
      </x:c>
      <x:c r="D5" s="20" t="str">
        <x:v>Xpress Computer Services</x:v>
      </x:c>
      <x:c r="E5" s="26" t="str">
        <x:v>HYP-GWS-381774</x:v>
      </x:c>
      <x:c r="F5" s="21" t="n">
        <x:v>45839</x:v>
      </x:c>
      <x:c r="G5" s="20" t="str">
        <x:v>Annual</x:v>
      </x:c>
      <x:c r="H5" s="20" t="str">
        <x:v>Bright Smile Dental</x:v>
      </x:c>
      <x:c r="I5" s="21" t="n">
        <x:v>46203</x:v>
      </x:c>
      <x:c r="J5" s="22" t="n">
        <x:v>126</x:v>
      </x:c>
      <x:c r="K5" s="14"/>
      <x:c r="L5" s="14"/>
      <x:c r="M5" s="14" t="str">
        <x:v>Hypothetical email and collaboration subscription for Bright Smile Dental.</x:v>
      </x:c>
      <x:c r="N5" s="14" t="str">
        <x:v>Protect the super-administrator account with multifactor authentication and recovery controls.</x:v>
      </x:c>
    </x:row>
    <x:row r="6">
      <x:c r="A6" s="14" t="str">
        <x:v>Torch Orders Procurement Platform</x:v>
      </x:c>
      <x:c r="B6" s="14" t="str">
        <x:v>Procurement Software</x:v>
      </x:c>
      <x:c r="C6" s="20" t="str">
        <x:v>Torch Orders</x:v>
      </x:c>
      <x:c r="D6" s="20" t="str">
        <x:v>Torch Orders</x:v>
      </x:c>
      <x:c r="E6" s="26" t="str">
        <x:v>HYP-TORCH-205731</x:v>
      </x:c>
      <x:c r="F6" s="21" t="n">
        <x:v>45931</x:v>
      </x:c>
      <x:c r="G6" s="20" t="str">
        <x:v>12 Months</x:v>
      </x:c>
      <x:c r="H6" s="20" t="str">
        <x:v>Bright Smile Dental</x:v>
      </x:c>
      <x:c r="I6" s="21" t="n">
        <x:v>46295</x:v>
      </x:c>
      <x:c r="J6" s="22" t="n">
        <x:v>299</x:v>
      </x:c>
      <x:c r="K6" s="14"/>
      <x:c r="L6" s="14"/>
      <x:c r="M6" s="14" t="str">
        <x:v>Dental-supply purchasing and order-management subscription. Hypothetical rate.</x:v>
      </x:c>
      <x:c r="N6" s="14" t="str">
        <x:v>Confirm renewal pricing, user limits and data-export rights before renewal.</x:v>
      </x:c>
    </x:row>
    <x:row r="7">
      <x:c r="A7" s="14" t="str">
        <x:v>Comcast Business Internet</x:v>
      </x:c>
      <x:c r="B7" s="14" t="str">
        <x:v>Internet &amp; Network</x:v>
      </x:c>
      <x:c r="C7" s="20" t="str">
        <x:v>Comcast/Xfinity</x:v>
      </x:c>
      <x:c r="D7" s="20" t="str">
        <x:v>Comcast/Xfinity</x:v>
      </x:c>
      <x:c r="E7" s="26" t="str">
        <x:v>HYP-COMCAST-710284</x:v>
      </x:c>
      <x:c r="F7" s="21" t="n">
        <x:v>45881</x:v>
      </x:c>
      <x:c r="G7" s="20" t="str">
        <x:v>36 Months</x:v>
      </x:c>
      <x:c r="H7" s="20" t="str">
        <x:v>Bright Smile Dental</x:v>
      </x:c>
      <x:c r="I7" s="21" t="n">
        <x:v>46976</x:v>
      </x:c>
      <x:c r="J7" s="22" t="n">
        <x:v>289</x:v>
      </x:c>
      <x:c r="K7" s="14"/>
      <x:c r="L7" s="14"/>
      <x:c r="M7" s="14" t="str">
        <x:v>Primary business internet connection with static IP service. Hypothetical account and pricing.</x:v>
      </x:c>
      <x:c r="N7" s="14" t="str">
        <x:v>Early-termination fees may apply. Document modem ownership, static IPs and outage support number.</x:v>
      </x:c>
    </x:row>
    <x:row r="8">
      <x:c r="A8" s="14" t="str">
        <x:v>Verizon Business Wireless Service</x:v>
      </x:c>
      <x:c r="B8" s="14" t="str">
        <x:v>Phone &amp; Communications</x:v>
      </x:c>
      <x:c r="C8" s="20" t="str">
        <x:v>Verizon</x:v>
      </x:c>
      <x:c r="D8" s="20" t="str">
        <x:v>Verizon</x:v>
      </x:c>
      <x:c r="E8" s="26" t="str">
        <x:v>HYP-VZW-993105</x:v>
      </x:c>
      <x:c r="F8" s="21" t="n">
        <x:v>45962</x:v>
      </x:c>
      <x:c r="G8" s="20" t="str">
        <x:v>24 Months</x:v>
      </x:c>
      <x:c r="H8" s="20" t="str">
        <x:v>Bright Smile Dental</x:v>
      </x:c>
      <x:c r="I8" s="21" t="n">
        <x:v>46691</x:v>
      </x:c>
      <x:c r="J8" s="22" t="n">
        <x:v>185</x:v>
      </x:c>
      <x:c r="K8" s="14"/>
      <x:c r="L8" s="14"/>
      <x:c r="M8" s="14" t="str">
        <x:v>Hypothetical wireless plan for manager and emergency business devices.</x:v>
      </x:c>
      <x:c r="N8" s="14" t="str">
        <x:v>Review device-payment balances and line-cancellation fees before changing carriers.</x:v>
      </x:c>
    </x:row>
    <x:row r="9">
      <x:c r="A9" s="14" t="str">
        <x:v>Electric Utility Service</x:v>
      </x:c>
      <x:c r="B9" s="14" t="str">
        <x:v>Electric Utility</x:v>
      </x:c>
      <x:c r="C9" s="20" t="str">
        <x:v>Dominion Energy Virginia</x:v>
      </x:c>
      <x:c r="D9" s="20" t="str">
        <x:v>Dominion Energy Virginia</x:v>
      </x:c>
      <x:c r="E9" s="26" t="str">
        <x:v>HYP-DOM-584920</x:v>
      </x:c>
      <x:c r="F9" s="21" t="n">
        <x:v>45848</x:v>
      </x:c>
      <x:c r="G9" s="20" t="str">
        <x:v>No Fixed Term</x:v>
      </x:c>
      <x:c r="H9" s="20" t="str">
        <x:v>Bright Smile Dental</x:v>
      </x:c>
      <x:c r="I9" s="21"/>
      <x:c r="J9" s="22" t="n">
        <x:v>1350</x:v>
      </x:c>
      <x:c r="K9" s="14"/>
      <x:c r="L9" s="14"/>
      <x:c r="M9" s="14" t="str">
        <x:v>Hypothetical average monthly electric cost; actual billing varies with usage and season.</x:v>
      </x:c>
      <x:c r="N9" s="14" t="str">
        <x:v>Variable utility cost. Track unusual consumption and preserve outage and emergency contact information.</x:v>
      </x:c>
    </x:row>
    <x:row r="10">
      <x:c r="A10" s="14" t="str">
        <x:v>Natural Gas Utility Service</x:v>
      </x:c>
      <x:c r="B10" s="14" t="str">
        <x:v>Natural Gas Utility</x:v>
      </x:c>
      <x:c r="C10" s="20" t="str">
        <x:v>Washington Gas</x:v>
      </x:c>
      <x:c r="D10" s="20" t="str">
        <x:v>Washington Gas</x:v>
      </x:c>
      <x:c r="E10" s="26" t="str">
        <x:v>HYP-WGAS-274610</x:v>
      </x:c>
      <x:c r="F10" s="21" t="n">
        <x:v>45848</x:v>
      </x:c>
      <x:c r="G10" s="20" t="str">
        <x:v>No Fixed Term</x:v>
      </x:c>
      <x:c r="H10" s="20" t="str">
        <x:v>Bright Smile Dental</x:v>
      </x:c>
      <x:c r="I10" s="21"/>
      <x:c r="J10" s="22" t="n">
        <x:v>190</x:v>
      </x:c>
      <x:c r="K10" s="14"/>
      <x:c r="L10" s="14"/>
      <x:c r="M10" s="14" t="str">
        <x:v>Hypothetical average monthly natural-gas cost; actual billing varies by season and usage.</x:v>
      </x:c>
      <x:c r="N10" s="14" t="str">
        <x:v>Gas leak emergency: evacuate, avoid switches or ignition sources and contact the utility from a safe location.</x:v>
      </x:c>
    </x:row>
    <x:row r="11">
      <x:c r="A11" s="14" t="str">
        <x:v>ADT Intrusion and Fire Alarm Monitoring</x:v>
      </x:c>
      <x:c r="B11" s="14" t="str">
        <x:v>Security &amp; Monitoring</x:v>
      </x:c>
      <x:c r="C11" s="20" t="str">
        <x:v>ADT Security</x:v>
      </x:c>
      <x:c r="D11" s="20" t="str">
        <x:v>ADT Security</x:v>
      </x:c>
      <x:c r="E11" s="26" t="str">
        <x:v>HYP-ADT-ALARM-903416</x:v>
      </x:c>
      <x:c r="F11" s="21" t="n">
        <x:v>45853</x:v>
      </x:c>
      <x:c r="G11" s="20" t="str">
        <x:v>36 Months</x:v>
      </x:c>
      <x:c r="H11" s="20" t="str">
        <x:v>Bright Smile Dental</x:v>
      </x:c>
      <x:c r="I11" s="21" t="n">
        <x:v>46948</x:v>
      </x:c>
      <x:c r="J11" s="22" t="n">
        <x:v>139</x:v>
      </x:c>
      <x:c r="K11" s="14"/>
      <x:c r="L11" s="14"/>
      <x:c r="M11" s="14" t="str">
        <x:v>Hypothetical monitoring agreement for intrusion and connected life-safety devices.</x:v>
      </x:c>
      <x:c r="N11" s="14" t="str">
        <x:v>Auto-renewal and early-termination provisions may apply. Keep emergency contacts and passcodes current.</x:v>
      </x:c>
    </x:row>
    <x:row r="12">
      <x:c r="A12" s="14" t="str">
        <x:v>ADT Video Surveillance Cloud Service</x:v>
      </x:c>
      <x:c r="B12" s="14" t="str">
        <x:v>Security &amp; Monitoring</x:v>
      </x:c>
      <x:c r="C12" s="20" t="str">
        <x:v>ADT Security</x:v>
      </x:c>
      <x:c r="D12" s="20" t="str">
        <x:v>ADT Security</x:v>
      </x:c>
      <x:c r="E12" s="26" t="str">
        <x:v>HYP-ADT-VIDEO-447521</x:v>
      </x:c>
      <x:c r="F12" s="21" t="n">
        <x:v>45853</x:v>
      </x:c>
      <x:c r="G12" s="20" t="str">
        <x:v>36 Months</x:v>
      </x:c>
      <x:c r="H12" s="20" t="str">
        <x:v>Bright Smile Dental</x:v>
      </x:c>
      <x:c r="I12" s="21" t="n">
        <x:v>46948</x:v>
      </x:c>
      <x:c r="J12" s="22" t="n">
        <x:v>119</x:v>
      </x:c>
      <x:c r="K12" s="14"/>
      <x:c r="L12" s="14"/>
      <x:c r="M12" s="14" t="str">
        <x:v>Hypothetical cloud recording and remote video-access subscription.</x:v>
      </x:c>
      <x:c r="N12" s="14" t="str">
        <x:v>Set retention rules carefully. Cameras must not capture protected clinical information or private areas.</x:v>
      </x:c>
    </x:row>
    <x:row r="13">
      <x:c r="A13" s="14" t="str">
        <x:v>Commercial Trash Collection</x:v>
      </x:c>
      <x:c r="B13" s="14" t="str">
        <x:v>Waste &amp; Recycling</x:v>
      </x:c>
      <x:c r="C13" s="20" t="str">
        <x:v>Republic Services</x:v>
      </x:c>
      <x:c r="D13" s="20" t="str">
        <x:v>Republic Services</x:v>
      </x:c>
      <x:c r="E13" s="26" t="str">
        <x:v>HYP-REP-TRASH-635117</x:v>
      </x:c>
      <x:c r="F13" s="21" t="n">
        <x:v>45870</x:v>
      </x:c>
      <x:c r="G13" s="20" t="str">
        <x:v>12 Months</x:v>
      </x:c>
      <x:c r="H13" s="20" t="str">
        <x:v>Bright Smile Dental</x:v>
      </x:c>
      <x:c r="I13" s="21" t="n">
        <x:v>46234</x:v>
      </x:c>
      <x:c r="J13" s="22" t="n">
        <x:v>285</x:v>
      </x:c>
      <x:c r="K13" s="14"/>
      <x:c r="L13" s="14"/>
      <x:c r="M13" s="14" t="str">
        <x:v>Hypothetical twice-weekly commercial trash pickup.</x:v>
      </x:c>
      <x:c r="N13" s="14" t="str">
        <x:v>Contract may auto-renew. Overfill, contamination and extra-pickup charges may apply.</x:v>
      </x:c>
    </x:row>
    <x:row r="14">
      <x:c r="A14" s="14" t="str">
        <x:v>Commercial Recycling Collection</x:v>
      </x:c>
      <x:c r="B14" s="14" t="str">
        <x:v>Waste &amp; Recycling</x:v>
      </x:c>
      <x:c r="C14" s="20" t="str">
        <x:v>Republic Services</x:v>
      </x:c>
      <x:c r="D14" s="20" t="str">
        <x:v>Republic Services</x:v>
      </x:c>
      <x:c r="E14" s="26" t="str">
        <x:v>HYP-REP-RECYCLE-822436</x:v>
      </x:c>
      <x:c r="F14" s="21" t="n">
        <x:v>45870</x:v>
      </x:c>
      <x:c r="G14" s="20" t="str">
        <x:v>12 Months</x:v>
      </x:c>
      <x:c r="H14" s="20" t="str">
        <x:v>Bright Smile Dental</x:v>
      </x:c>
      <x:c r="I14" s="21" t="n">
        <x:v>46234</x:v>
      </x:c>
      <x:c r="J14" s="22" t="n">
        <x:v>115</x:v>
      </x:c>
      <x:c r="K14" s="14"/>
      <x:c r="L14" s="14"/>
      <x:c r="M14" s="14" t="str">
        <x:v>Hypothetical weekly mixed-recycling pickup.</x:v>
      </x:c>
      <x:c r="N14" s="14" t="str">
        <x:v>Contaminated loads may be rejected or assessed additional fees.</x:v>
      </x:c>
    </x:row>
    <x:row r="15">
      <x:c r="A15" s="14" t="str">
        <x:v>Biohazard and Regulated Medical Waste Pickup</x:v>
      </x:c>
      <x:c r="B15" s="14" t="str">
        <x:v>Biohazard &amp; Medical Waste</x:v>
      </x:c>
      <x:c r="C15" s="20" t="str">
        <x:v>MedPro Waste Disposal</x:v>
      </x:c>
      <x:c r="D15" s="20" t="str">
        <x:v>MedPro Waste Disposal</x:v>
      </x:c>
      <x:c r="E15" s="26" t="str">
        <x:v>HYP-MEDPRO-741926</x:v>
      </x:c>
      <x:c r="F15" s="21" t="n">
        <x:v>45901</x:v>
      </x:c>
      <x:c r="G15" s="20" t="str">
        <x:v>12 Months</x:v>
      </x:c>
      <x:c r="H15" s="20" t="str">
        <x:v>Bright Smile Dental</x:v>
      </x:c>
      <x:c r="I15" s="21" t="n">
        <x:v>46265</x:v>
      </x:c>
      <x:c r="J15" s="22" t="n">
        <x:v>189</x:v>
      </x:c>
      <x:c r="K15" s="14"/>
      <x:c r="L15" s="14"/>
      <x:c r="M15" s="14" t="str">
        <x:v>Hypothetical scheduled pickup for regulated medical waste and sharps containers.</x:v>
      </x:c>
      <x:c r="N15" s="14" t="str">
        <x:v>Retain manifests and training records. Do not place pharmaceutical, chemical or amalgam waste in standard biohazard containers.</x:v>
      </x:c>
    </x:row>
    <x:row r="16">
      <x:c r="A16" s="14" t="str">
        <x:v>Managed IT Support</x:v>
      </x:c>
      <x:c r="B16" s="14" t="str">
        <x:v>IT &amp; Cybersecurity</x:v>
      </x:c>
      <x:c r="C16" s="20" t="str">
        <x:v>Xpress Computer Services</x:v>
      </x:c>
      <x:c r="D16" s="20" t="str">
        <x:v>Xpress Computer Services</x:v>
      </x:c>
      <x:c r="E16" s="26" t="str">
        <x:v>HYP-XPRESS-MSP-418503</x:v>
      </x:c>
      <x:c r="F16" s="21" t="n">
        <x:v>45839</x:v>
      </x:c>
      <x:c r="G16" s="20" t="str">
        <x:v>12 Months</x:v>
      </x:c>
      <x:c r="H16" s="20" t="str">
        <x:v>Bright Smile Dental</x:v>
      </x:c>
      <x:c r="I16" s="21" t="n">
        <x:v>46203</x:v>
      </x:c>
      <x:c r="J16" s="22" t="n">
        <x:v>795</x:v>
      </x:c>
      <x:c r="K16" s="14"/>
      <x:c r="L16" s="14"/>
      <x:c r="M16" s="14" t="str">
        <x:v>Hypothetical managed IT agreement covering help desk, device monitoring and routine maintenance.</x:v>
      </x:c>
      <x:c r="N16" s="14" t="str">
        <x:v>Confirm response times, after-hours charges, excluded projects and ownership of all administrator credentials.</x:v>
      </x:c>
    </x:row>
    <x:row r="17">
      <x:c r="A17" s="14" t="str">
        <x:v>Endpoint Security and Cloud Backup</x:v>
      </x:c>
      <x:c r="B17" s="14" t="str">
        <x:v>IT &amp; Cybersecurity</x:v>
      </x:c>
      <x:c r="C17" s="20" t="str">
        <x:v>Xpress Computer Services</x:v>
      </x:c>
      <x:c r="D17" s="20" t="str">
        <x:v>Xpress Computer Services</x:v>
      </x:c>
      <x:c r="E17" s="26" t="str">
        <x:v>HYP-XPRESS-SEC-561708</x:v>
      </x:c>
      <x:c r="F17" s="21" t="n">
        <x:v>45839</x:v>
      </x:c>
      <x:c r="G17" s="20" t="str">
        <x:v>12 Months</x:v>
      </x:c>
      <x:c r="H17" s="20" t="str">
        <x:v>Bright Smile Dental</x:v>
      </x:c>
      <x:c r="I17" s="21" t="n">
        <x:v>46203</x:v>
      </x:c>
      <x:c r="J17" s="22" t="n">
        <x:v>385</x:v>
      </x:c>
      <x:c r="K17" s="14"/>
      <x:c r="L17" s="14"/>
      <x:c r="M17" s="14" t="str">
        <x:v>Hypothetical managed endpoint protection, backup monitoring and recovery testing.</x:v>
      </x:c>
      <x:c r="N17" s="14" t="str">
        <x:v>A backup that is never tested is worthless. Require documented restore testing and offsite retention.</x:v>
      </x:c>
    </x:row>
    <x:row r="18">
      <x:c r="A18" s="14" t="str">
        <x:v>Commercial Pest-Control Service</x:v>
      </x:c>
      <x:c r="B18" s="14" t="str">
        <x:v>Building &amp; Facility Services</x:v>
      </x:c>
      <x:c r="C18" s="20" t="str">
        <x:v>Permatreat Pest Control</x:v>
      </x:c>
      <x:c r="D18" s="20" t="str">
        <x:v>Permatreat Pest Control</x:v>
      </x:c>
      <x:c r="E18" s="26" t="str">
        <x:v>HYP-PERMA-150294</x:v>
      </x:c>
      <x:c r="F18" s="21" t="n">
        <x:v>45889</x:v>
      </x:c>
      <x:c r="G18" s="20" t="str">
        <x:v>12 Months</x:v>
      </x:c>
      <x:c r="H18" s="20" t="str">
        <x:v>Bright Smile Dental</x:v>
      </x:c>
      <x:c r="I18" s="21" t="n">
        <x:v>46253</x:v>
      </x:c>
      <x:c r="J18" s="22" t="n">
        <x:v>95</x:v>
      </x:c>
      <x:c r="K18" s="14"/>
      <x:c r="L18" s="14"/>
      <x:c r="M18" s="14" t="str">
        <x:v>Hypothetical quarterly preventive pest-control plan, billed monthly.</x:v>
      </x:c>
      <x:c r="N18" s="14" t="str">
        <x:v>Require notice before chemical application and keep service reports for facility records.</x:v>
      </x:c>
    </x:row>
    <x:row r="19">
      <x:c r="A19" s="14" t="str">
        <x:v>Merchant Payment Processing Service</x:v>
      </x:c>
      <x:c r="B19" s="14" t="str">
        <x:v>Banking &amp; Merchant Services</x:v>
      </x:c>
      <x:c r="C19" s="20" t="str">
        <x:v>Rectangle Health</x:v>
      </x:c>
      <x:c r="D19" s="20" t="str">
        <x:v>Rectangle Health</x:v>
      </x:c>
      <x:c r="E19" s="26" t="str">
        <x:v>HYP-RECT-890153</x:v>
      </x:c>
      <x:c r="F19" s="21" t="n">
        <x:v>45839</x:v>
      </x:c>
      <x:c r="G19" s="20" t="str">
        <x:v>36 Months</x:v>
      </x:c>
      <x:c r="H19" s="20" t="str">
        <x:v>Bright Smile Dental</x:v>
      </x:c>
      <x:c r="I19" s="21" t="n">
        <x:v>46934</x:v>
      </x:c>
      <x:c r="J19" s="22" t="n">
        <x:v>325</x:v>
      </x:c>
      <x:c r="K19" s="14"/>
      <x:c r="L19" s="14"/>
      <x:c r="M19" s="14" t="str">
        <x:v>Hypothetical fixed monthly platform and terminal cost. Processing percentage fees are not included.</x:v>
      </x:c>
      <x:c r="N19" s="14" t="str">
        <x:v>Do not evaluate this contract using the monthly fee alone. Review percentage rates, PCI fees, chargeback fees and termination penalties.</x:v>
      </x:c>
    </x:row>
    <x:row r="20">
      <x:c r="A20" s="14" t="str">
        <x:v>Medical Oxygen Cylinder Rental and Exchange</x:v>
      </x:c>
      <x:c r="B20" s="14" t="str">
        <x:v>Medical Gas Service</x:v>
      </x:c>
      <x:c r="C20" s="20" t="str">
        <x:v>Dalco Medical Products</x:v>
      </x:c>
      <x:c r="D20" s="20" t="str">
        <x:v>Dalco Medical Products</x:v>
      </x:c>
      <x:c r="E20" s="26" t="str">
        <x:v>HYP-DALCO-O2-775421</x:v>
      </x:c>
      <x:c r="F20" s="21" t="n">
        <x:v>45945</x:v>
      </x:c>
      <x:c r="G20" s="20" t="str">
        <x:v>12 Months</x:v>
      </x:c>
      <x:c r="H20" s="20" t="str">
        <x:v>Bright Smile Dental</x:v>
      </x:c>
      <x:c r="I20" s="21" t="n">
        <x:v>46309</x:v>
      </x:c>
      <x:c r="J20" s="22" t="n">
        <x:v>85</x:v>
      </x:c>
      <x:c r="K20" s="14"/>
      <x:c r="L20" s="14"/>
      <x:c r="M20" s="14" t="str">
        <x:v>Hypothetical cylinder rental and exchange service for the emergency oxygen system.</x:v>
      </x:c>
      <x:c r="N20" s="14" t="str">
        <x:v>Secure cylinders upright, separate full and empty cylinders and keep oxygen away from oil, heat and ignition sources.</x:v>
      </x:c>
    </x:row>
    <x:row r="21">
      <x:c r="A21" s="14" t="str">
        <x:v>Dental X-Ray Equipment Registration</x:v>
      </x:c>
      <x:c r="B21" s="14" t="str">
        <x:v>Compliance &amp; Licensing</x:v>
      </x:c>
      <x:c r="C21" s="20" t="str">
        <x:v>Virginia Department of Health – Office of Radiological Health</x:v>
      </x:c>
      <x:c r="D21" s="20" t="str">
        <x:v>Virginia Department of Health – Office of Radiological Health</x:v>
      </x:c>
      <x:c r="E21" s="26" t="str">
        <x:v>HYP-VDH-XRAY-620715</x:v>
      </x:c>
      <x:c r="F21" s="21" t="n">
        <x:v>45839</x:v>
      </x:c>
      <x:c r="G21" s="20" t="str">
        <x:v>Annual</x:v>
      </x:c>
      <x:c r="H21" s="20" t="str">
        <x:v>Bright Smile Dental</x:v>
      </x:c>
      <x:c r="I21" s="21" t="n">
        <x:v>46203</x:v>
      </x:c>
      <x:c r="J21" s="22" t="n">
        <x:v>28</x:v>
      </x:c>
      <x:c r="K21" s="14"/>
      <x:c r="L21" s="14"/>
      <x:c r="M21" s="14" t="str">
        <x:v>Hypothetical monthly equivalent of an annual registration or regulatory fee.</x:v>
      </x:c>
      <x:c r="N21" s="14" t="str">
        <x:v>Regulatory deadlines are not optional. Replace the hypothetical dates and fee with the actual registration certificate and renewal date.</x:v>
      </x:c>
    </x:row>
  </x:sheetData>
  <x:dataValidations count="5">
    <x:dataValidation type="list" sqref="B2:B120">
      <x:formula1>Lists!$A$2:$A$16</x:formula1>
    </x:dataValidation>
    <x:dataValidation type="list" sqref="C2:C120">
      <x:formula1>Lists!$B$2:$B$18</x:formula1>
    </x:dataValidation>
    <x:dataValidation type="list" sqref="D2:D120">
      <x:formula1>Lists!$C$2:$C$16</x:formula1>
    </x:dataValidation>
    <x:dataValidation type="list" sqref="G2:G120">
      <x:formula1>Lists!$D$2:$D$7</x:formula1>
    </x:dataValidation>
    <x:dataValidation type="list" sqref="H2:H120">
      <x:formula1>Lists!$E$2:$E$2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87261ebc8d4c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35" hidden="0" customWidth="1"/>
    <x:col min="5" max="5" width="25" hidden="0" customWidth="1"/>
    <x:col min="6" max="6" width="25" hidden="0" customWidth="1"/>
  </x:cols>
  <x:sheetData>
    <x:row r="1" ht="34" customHeight="1">
      <x:c r="A1" s="29" t="str">
        <x:v>Bright Smile Dental — Services Import Review</x:v>
      </x:c>
      <x:c r="B1" s="29"/>
      <x:c r="C1" s="29"/>
      <x:c r="D1" s="29"/>
      <x:c r="E1" s="29"/>
      <x:c r="F1" s="29"/>
    </x:row>
    <x:row r="3">
      <x:c r="A3" s="6" t="str">
        <x:v>Service summary</x:v>
      </x:c>
      <x:c r="B3" s="6" t="str">
        <x:v>Value</x:v>
      </x:c>
      <x:c r="D3" s="6" t="str">
        <x:v>Category</x:v>
      </x:c>
      <x:c r="E3" s="6" t="str">
        <x:v>Monthly Cost</x:v>
      </x:c>
    </x:row>
    <x:row r="4">
      <x:c r="A4" t="str">
        <x:v>Total service records</x:v>
      </x:c>
      <x:c r="B4" t="n">
        <x:f>COUNTA('Services Upload'!A2:A21)</x:f>
        <x:v>20</x:v>
      </x:c>
      <x:c r="D4" t="str">
        <x:v>Banking &amp; Merchant Services</x:v>
      </x:c>
      <x:c r="E4" s="32" t="n">
        <x:f>SUMIF('Services Upload'!$B$2:$B$21,D4,'Services Upload'!$J$2:$J$21)</x:f>
        <x:v>325</x:v>
      </x:c>
    </x:row>
    <x:row r="5">
      <x:c r="A5" t="str">
        <x:v>Total hypothetical monthly cost</x:v>
      </x:c>
      <x:c r="B5" s="32" t="n">
        <x:f>SUM('Services Upload'!J2:J21)</x:f>
        <x:v>6823</x:v>
      </x:c>
      <x:c r="D5" t="str">
        <x:v>Biohazard &amp; Medical Waste</x:v>
      </x:c>
      <x:c r="E5" s="32" t="n">
        <x:f>SUMIF('Services Upload'!$B$2:$B$21,D5,'Services Upload'!$J$2:$J$21)</x:f>
        <x:v>189</x:v>
      </x:c>
    </x:row>
    <x:row r="6">
      <x:c r="A6" t="str">
        <x:v>Total hypothetical annual cost</x:v>
      </x:c>
      <x:c r="B6" s="32" t="n">
        <x:f>B5*12</x:f>
        <x:v>81876</x:v>
      </x:c>
      <x:c r="D6" t="str">
        <x:v>Building &amp; Facility Services</x:v>
      </x:c>
      <x:c r="E6" s="32" t="n">
        <x:f>SUMIF('Services Upload'!$B$2:$B$21,D6,'Services Upload'!$J$2:$J$21)</x:f>
        <x:v>95</x:v>
      </x:c>
    </x:row>
    <x:row r="7">
      <x:c r="A7" t="str">
        <x:v>Fixed-term contracts</x:v>
      </x:c>
      <x:c r="B7" t="n">
        <x:f>COUNTIFS('Services Upload'!G2:G21,"&lt;&gt;No Fixed Term",'Services Upload'!G2:G21,"&lt;&gt;Month-to-Month")</x:f>
        <x:v>18</x:v>
      </x:c>
      <x:c r="D7" t="str">
        <x:v>Business Software</x:v>
      </x:c>
      <x:c r="E7" s="32" t="n">
        <x:f>SUMIF('Services Upload'!$B$2:$B$21,D7,'Services Upload'!$J$2:$J$21)</x:f>
        <x:v>302</x:v>
      </x:c>
    </x:row>
    <x:row r="8">
      <x:c r="A8" t="str">
        <x:v>Services with no end date</x:v>
      </x:c>
      <x:c r="B8" t="n">
        <x:f>COUNTBLANK('Services Upload'!I2:I21)</x:f>
        <x:v>2</x:v>
      </x:c>
      <x:c r="D8" t="str">
        <x:v>Compliance &amp; Licensing</x:v>
      </x:c>
      <x:c r="E8" s="32" t="n">
        <x:f>SUMIF('Services Upload'!$B$2:$B$21,D8,'Services Upload'!$J$2:$J$21)</x:f>
        <x:v>28</x:v>
      </x:c>
    </x:row>
    <x:row r="9">
      <x:c r="A9" t="str">
        <x:v>Vendor additions required</x:v>
      </x:c>
      <x:c r="B9" t="n">
        <x:v>2</x:v>
      </x:c>
      <x:c r="D9" t="str">
        <x:v>Electric Utility</x:v>
      </x:c>
      <x:c r="E9" s="32" t="n">
        <x:f>SUMIF('Services Upload'!$B$2:$B$21,D9,'Services Upload'!$J$2:$J$21)</x:f>
        <x:v>1350</x:v>
      </x:c>
    </x:row>
    <x:row r="10">
      <x:c r="D10" t="str">
        <x:v>IT &amp; Cybersecurity</x:v>
      </x:c>
      <x:c r="E10" s="32" t="n">
        <x:f>SUMIF('Services Upload'!$B$2:$B$21,D10,'Services Upload'!$J$2:$J$21)</x:f>
        <x:v>1180</x:v>
      </x:c>
    </x:row>
    <x:row r="11">
      <x:c r="D11" t="str">
        <x:v>Internet &amp; Network</x:v>
      </x:c>
      <x:c r="E11" s="32" t="n">
        <x:f>SUMIF('Services Upload'!$B$2:$B$21,D11,'Services Upload'!$J$2:$J$21)</x:f>
        <x:v>289</x:v>
      </x:c>
    </x:row>
    <x:row r="12">
      <x:c r="D12" t="str">
        <x:v>Medical Gas Service</x:v>
      </x:c>
      <x:c r="E12" s="32" t="n">
        <x:f>SUMIF('Services Upload'!$B$2:$B$21,D12,'Services Upload'!$J$2:$J$21)</x:f>
        <x:v>85</x:v>
      </x:c>
    </x:row>
    <x:row r="13">
      <x:c r="D13" t="str">
        <x:v>Natural Gas Utility</x:v>
      </x:c>
      <x:c r="E13" s="32" t="n">
        <x:f>SUMIF('Services Upload'!$B$2:$B$21,D13,'Services Upload'!$J$2:$J$21)</x:f>
        <x:v>190</x:v>
      </x:c>
    </x:row>
    <x:row r="14">
      <x:c r="D14" t="str">
        <x:v>Phone &amp; Communications</x:v>
      </x:c>
      <x:c r="E14" s="32" t="n">
        <x:f>SUMIF('Services Upload'!$B$2:$B$21,D14,'Services Upload'!$J$2:$J$21)</x:f>
        <x:v>934</x:v>
      </x:c>
    </x:row>
    <x:row r="15">
      <x:c r="D15" t="str">
        <x:v>Practice Management Software</x:v>
      </x:c>
      <x:c r="E15" s="32" t="n">
        <x:f>SUMIF('Services Upload'!$B$2:$B$21,D15,'Services Upload'!$J$2:$J$21)</x:f>
        <x:v>899</x:v>
      </x:c>
    </x:row>
    <x:row r="16">
      <x:c r="D16" t="str">
        <x:v>Procurement Software</x:v>
      </x:c>
      <x:c r="E16" s="32" t="n">
        <x:f>SUMIF('Services Upload'!$B$2:$B$21,D16,'Services Upload'!$J$2:$J$21)</x:f>
        <x:v>299</x:v>
      </x:c>
    </x:row>
    <x:row r="17">
      <x:c r="D17" t="str">
        <x:v>Security &amp; Monitoring</x:v>
      </x:c>
      <x:c r="E17" s="32" t="n">
        <x:f>SUMIF('Services Upload'!$B$2:$B$21,D17,'Services Upload'!$J$2:$J$21)</x:f>
        <x:v>258</x:v>
      </x:c>
    </x:row>
    <x:row r="18">
      <x:c r="D18" t="str">
        <x:v>Waste &amp; Recycling</x:v>
      </x:c>
      <x:c r="E18" s="32" t="n">
        <x:f>SUMIF('Services Upload'!$B$2:$B$21,D18,'Services Upload'!$J$2:$J$21)</x:f>
        <x:v>400</x:v>
      </x:c>
    </x:row>
    <x:row r="21" ht="42" customHeight="1">
      <x:c r="A21" s="38" t="str">
        <x:v>TEST DATA ONLY — ACCOUNT NUMBERS, DATES, CONTRACT TERMS, PRICES AND RENEWAL CONDITIONS ARE HYPOTHETICAL.</x:v>
      </x:c>
      <x:c r="B21" s="38"/>
      <x:c r="C21" s="38"/>
      <x:c r="D21" s="38"/>
      <x:c r="E21" s="38"/>
      <x:c r="F21" s="38"/>
    </x:row>
    <x:row r="23">
      <x:c r="A23" s="46" t="str">
        <x:v>Do not upload until Dominion Energy Virginia and Washington Gas have been added to the Vendors database, and until the service categories match the software dropdowns.</x:v>
      </x:c>
      <x:c r="B23" s="46"/>
      <x:c r="C23" s="46"/>
      <x:c r="D23" s="46"/>
      <x:c r="E23" s="46"/>
      <x:c r="F23" s="46"/>
    </x:row>
  </x:sheetData>
  <x:mergeCells>
    <x:mergeCell ref="A1:F1"/>
    <x:mergeCell ref="A21:F21"/>
    <x:mergeCell ref="A23:F23"/>
  </x:mergeCells>
  <x:pageMargins left="0.7" right="0.7" top="0.75" bottom="0.75" header="0.3" footer="0.3"/>
  <x:drawing xmlns:r="http://schemas.openxmlformats.org/officeDocument/2006/relationships" r:id="R81fe8e77e28b4312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45" hidden="0" customWidth="1"/>
    <x:col min="4" max="4" width="22" hidden="0" customWidth="1"/>
    <x:col min="5" max="5" width="25" hidden="0" customWidth="1"/>
  </x:cols>
  <x:sheetData>
    <x:row r="1">
      <x:c r="A1" s="6" t="str">
        <x:v>Categories</x:v>
      </x:c>
      <x:c r="B1" s="6" t="str">
        <x:v>Providers</x:v>
      </x:c>
      <x:c r="C1" s="6" t="str">
        <x:v>Service Vendors</x:v>
      </x:c>
      <x:c r="D1" s="6" t="str">
        <x:v>Contract Terms</x:v>
      </x:c>
      <x:c r="E1" s="6" t="str">
        <x:v>Offices</x:v>
      </x:c>
    </x:row>
    <x:row r="2">
      <x:c r="A2" t="str">
        <x:v>Banking &amp; Merchant Services</x:v>
      </x:c>
      <x:c r="B2" t="str">
        <x:v>ADT Security</x:v>
      </x:c>
      <x:c r="C2" t="str">
        <x:v>ADT Security</x:v>
      </x:c>
      <x:c r="D2" t="str">
        <x:v>Month-to-Month</x:v>
      </x:c>
      <x:c r="E2" t="str">
        <x:v>Bright Smile Dental</x:v>
      </x:c>
    </x:row>
    <x:row r="3">
      <x:c r="A3" t="str">
        <x:v>Biohazard &amp; Medical Waste</x:v>
      </x:c>
      <x:c r="B3" t="str">
        <x:v>Comcast/Xfinity</x:v>
      </x:c>
      <x:c r="C3" t="str">
        <x:v>Comcast/Xfinity</x:v>
      </x:c>
      <x:c r="D3" t="str">
        <x:v>12 Months</x:v>
      </x:c>
    </x:row>
    <x:row r="4">
      <x:c r="A4" t="str">
        <x:v>Building &amp; Facility Services</x:v>
      </x:c>
      <x:c r="B4" t="str">
        <x:v>Curve Dental</x:v>
      </x:c>
      <x:c r="C4" t="str">
        <x:v>Curve Dental</x:v>
      </x:c>
      <x:c r="D4" t="str">
        <x:v>24 Months</x:v>
      </x:c>
    </x:row>
    <x:row r="5">
      <x:c r="A5" t="str">
        <x:v>Business Software</x:v>
      </x:c>
      <x:c r="B5" t="str">
        <x:v>Dalco Medical Products</x:v>
      </x:c>
      <x:c r="C5" t="str">
        <x:v>Dalco Medical Products</x:v>
      </x:c>
      <x:c r="D5" t="str">
        <x:v>36 Months</x:v>
      </x:c>
    </x:row>
    <x:row r="6">
      <x:c r="A6" t="str">
        <x:v>Compliance &amp; Licensing</x:v>
      </x:c>
      <x:c r="B6" t="str">
        <x:v>Dominion Energy Virginia</x:v>
      </x:c>
      <x:c r="C6" t="str">
        <x:v>Dominion Energy Virginia</x:v>
      </x:c>
      <x:c r="D6" t="str">
        <x:v>Annual</x:v>
      </x:c>
    </x:row>
    <x:row r="7">
      <x:c r="A7" t="str">
        <x:v>Electric Utility</x:v>
      </x:c>
      <x:c r="B7" t="str">
        <x:v>Google Workspace</x:v>
      </x:c>
      <x:c r="C7" t="str">
        <x:v>MedPro Waste Disposal</x:v>
      </x:c>
      <x:c r="D7" t="str">
        <x:v>No Fixed Term</x:v>
      </x:c>
    </x:row>
    <x:row r="8">
      <x:c r="A8" t="str">
        <x:v>IT &amp; Cybersecurity</x:v>
      </x:c>
      <x:c r="B8" t="str">
        <x:v>MedPro Waste Disposal</x:v>
      </x:c>
      <x:c r="C8" t="str">
        <x:v>Permatreat Pest Control</x:v>
      </x:c>
    </x:row>
    <x:row r="9">
      <x:c r="A9" t="str">
        <x:v>Internet &amp; Network</x:v>
      </x:c>
      <x:c r="B9" t="str">
        <x:v>Microsoft 365</x:v>
      </x:c>
      <x:c r="C9" t="str">
        <x:v>Rectangle Health</x:v>
      </x:c>
    </x:row>
    <x:row r="10">
      <x:c r="A10" t="str">
        <x:v>Medical Gas Service</x:v>
      </x:c>
      <x:c r="B10" t="str">
        <x:v>Permatreat Pest Control</x:v>
      </x:c>
      <x:c r="C10" t="str">
        <x:v>Republic Services</x:v>
      </x:c>
    </x:row>
    <x:row r="11">
      <x:c r="A11" t="str">
        <x:v>Natural Gas Utility</x:v>
      </x:c>
      <x:c r="B11" t="str">
        <x:v>Rectangle Health</x:v>
      </x:c>
      <x:c r="C11" t="str">
        <x:v>Torch Orders</x:v>
      </x:c>
    </x:row>
    <x:row r="12">
      <x:c r="A12" t="str">
        <x:v>Phone &amp; Communications</x:v>
      </x:c>
      <x:c r="B12" t="str">
        <x:v>Republic Services</x:v>
      </x:c>
      <x:c r="C12" t="str">
        <x:v>Verizon</x:v>
      </x:c>
    </x:row>
    <x:row r="13">
      <x:c r="A13" t="str">
        <x:v>Practice Management Software</x:v>
      </x:c>
      <x:c r="B13" t="str">
        <x:v>Torch Orders</x:v>
      </x:c>
      <x:c r="C13" t="str">
        <x:v>Virginia Department of Health – Office of Radiological Health</x:v>
      </x:c>
    </x:row>
    <x:row r="14">
      <x:c r="A14" t="str">
        <x:v>Procurement Software</x:v>
      </x:c>
      <x:c r="B14" t="str">
        <x:v>Verizon</x:v>
      </x:c>
      <x:c r="C14" t="str">
        <x:v>Washington Gas</x:v>
      </x:c>
    </x:row>
    <x:row r="15">
      <x:c r="A15" t="str">
        <x:v>Security &amp; Monitoring</x:v>
      </x:c>
      <x:c r="B15" t="str">
        <x:v>Virginia Department of Health – Office of Radiological Health</x:v>
      </x:c>
      <x:c r="C15" t="str">
        <x:v>Weave</x:v>
      </x:c>
    </x:row>
    <x:row r="16">
      <x:c r="A16" t="str">
        <x:v>Waste &amp; Recycling</x:v>
      </x:c>
      <x:c r="B16" t="str">
        <x:v>Washington Gas</x:v>
      </x:c>
      <x:c r="C16" t="str">
        <x:v>Xpress Computer Services</x:v>
      </x:c>
    </x:row>
    <x:row r="17">
      <x:c r="B17" t="str">
        <x:v>Weave</x:v>
      </x:c>
    </x:row>
    <x:row r="18">
      <x:c r="B18" t="str">
        <x:v>Xpress Computer Services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0" hidden="0" customWidth="1"/>
    <x:col min="4" max="4" width="58" hidden="0" customWidth="1"/>
  </x:cols>
  <x:sheetData>
    <x:row r="1">
      <x:c r="A1" s="6" t="str">
        <x:v>Vendor Name</x:v>
      </x:c>
      <x:c r="B1" s="6" t="str">
        <x:v>Vendor Category</x:v>
      </x:c>
      <x:c r="C1" s="6" t="str">
        <x:v>Purpose</x:v>
      </x:c>
      <x:c r="D1" s="6" t="str">
        <x:v>Import Dependency</x:v>
      </x:c>
    </x:row>
    <x:row r="2">
      <x:c r="A2" s="12" t="str">
        <x:v>Dominion Energy Virginia</x:v>
      </x:c>
      <x:c r="B2" s="12" t="str">
        <x:v>Utilities</x:v>
      </x:c>
      <x:c r="C2" s="12" t="str">
        <x:v>Electricity provider</x:v>
      </x:c>
      <x:c r="D2" s="12" t="str">
        <x:v>Required before importing the electric utility service.</x:v>
      </x:c>
    </x:row>
    <x:row r="3">
      <x:c r="A3" s="12" t="str">
        <x:v>Washington Gas</x:v>
      </x:c>
      <x:c r="B3" s="12" t="str">
        <x:v>Utilities</x:v>
      </x:c>
      <x:c r="C3" s="12" t="str">
        <x:v>Natural-gas provider</x:v>
      </x:c>
      <x:c r="D3" s="12" t="str">
        <x:v>Required before importing the natural-gas utility service.</x:v>
      </x:c>
    </x:row>
  </x:sheetData>
  <x:pageMargins left="0.7" right="0.7" top="0.75" bottom="0.75" header="0.3" footer="0.3"/>
  <x:tableParts count="1">
    <x:tablePart xmlns:r="http://schemas.openxmlformats.org/officeDocument/2006/relationships" r:id="R43d8ed1e9f4848f9"/>
  </x:tableParts>
</x:worksheet>
</file>